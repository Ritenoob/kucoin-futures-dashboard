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Overview" sheetId="1" state="visible" r:id="rId3"/>
    <sheet name="AI VRAM Analysis" sheetId="2" state="visible" r:id="rId4"/>
    <sheet name="Power Analysis" sheetId="3" state="visible" r:id="rId5"/>
    <sheet name="Alternative Builds" sheetId="4" state="visible" r:id="rId6"/>
    <sheet name="Build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<sst xmlns="http://schemas.openxmlformats.org/spreadsheetml/2006/main" count="214" uniqueCount="200">
  <si>
    <t xml:space="preserve">AI + TRADING WORKSTATION BUILD - 6 MONITORS + DUAL AI MODEL CAPABILITY</t>
  </si>
  <si>
    <t xml:space="preserve">BUILD TIER</t>
  </si>
  <si>
    <t xml:space="preserve">FLAGSHIP BEAST</t>
  </si>
  <si>
    <t xml:space="preserve">Primary Use</t>
  </si>
  <si>
    <t xml:space="preserve">Algorithmic Trading + Running 2 Local LLMs Simultaneously</t>
  </si>
  <si>
    <t xml:space="preserve">Total VRAM</t>
  </si>
  <si>
    <t xml:space="preserve">56GB (32GB + 24GB) - Runs 70B+ models or 2x 30B models</t>
  </si>
  <si>
    <t xml:space="preserve">Monitor Support</t>
  </si>
  <si>
    <t xml:space="preserve">6+ Monitors (up to 8 with adapters)</t>
  </si>
  <si>
    <t xml:space="preserve">AI Capability</t>
  </si>
  <si>
    <t xml:space="preserve">Run 2x 13B-30B models simultaneously OR 1x 70B model</t>
  </si>
  <si>
    <t xml:space="preserve">COMPONENT</t>
  </si>
  <si>
    <t xml:space="preserve">SELECTED PART</t>
  </si>
  <si>
    <t xml:space="preserve">SPECS</t>
  </si>
  <si>
    <t xml:space="preserve">PURPOSE</t>
  </si>
  <si>
    <t xml:space="preserve">QTY</t>
  </si>
  <si>
    <t xml:space="preserve">EST. PRICE</t>
  </si>
  <si>
    <t xml:space="preserve">CPU</t>
  </si>
  <si>
    <t xml:space="preserve">AMD Ryzen 9 7950X</t>
  </si>
  <si>
    <t xml:space="preserve">16C/32T, 5.7GHz Boost, 80MB Cache</t>
  </si>
  <si>
    <t xml:space="preserve">Multi-threaded backtesting, MT5 Strategy Tester</t>
  </si>
  <si>
    <t xml:space="preserve">CPU COOLER</t>
  </si>
  <si>
    <t xml:space="preserve">Noctua NH-D15S chromax.black</t>
  </si>
  <si>
    <t xml:space="preserve">Dual Tower, 150W TDP</t>
  </si>
  <si>
    <t xml:space="preserve">Silent cooling for 24/7 operation</t>
  </si>
  <si>
    <t xml:space="preserve">MOTHERBOARD</t>
  </si>
  <si>
    <t xml:space="preserve">ASUS ProArt X670E-CREATOR WIFI</t>
  </si>
  <si>
    <t xml:space="preserve">PCIe 5.0 x16 + x8, 4x M.2, Thunderbolt 4</t>
  </si>
  <si>
    <t xml:space="preserve">Dual GPU support, professional reliability</t>
  </si>
  <si>
    <t xml:space="preserve">RAM</t>
  </si>
  <si>
    <t xml:space="preserve">G.Skill Trident Z5 Neo DDR5-6000 CL30</t>
  </si>
  <si>
    <t xml:space="preserve">64GB (2x32GB), AMD EXPO Ready</t>
  </si>
  <si>
    <t xml:space="preserve">Heavy multitasking, large datasets</t>
  </si>
  <si>
    <t xml:space="preserve">GPU 1 (PRIMARY AI)</t>
  </si>
  <si>
    <t xml:space="preserve">NVIDIA RTX 5090 Founders Edition</t>
  </si>
  <si>
    <t xml:space="preserve">32GB GDDR7, 21,760 CUDA, 1,792 GB/s</t>
  </si>
  <si>
    <t xml:space="preserve">Primary LLM inference, AI model 1</t>
  </si>
  <si>
    <t xml:space="preserve">GPU 2 (SECONDARY AI)</t>
  </si>
  <si>
    <t xml:space="preserve">NVIDIA RTX 4090 Founders Edition</t>
  </si>
  <si>
    <t xml:space="preserve">24GB GDDR6X, 16,384 CUDA, 1,008 GB/s</t>
  </si>
  <si>
    <t xml:space="preserve">Secondary LLM, 6 monitor output</t>
  </si>
  <si>
    <t xml:space="preserve">STORAGE (OS/Apps)</t>
  </si>
  <si>
    <t xml:space="preserve">Samsung 990 Pro 2TB NVMe</t>
  </si>
  <si>
    <t xml:space="preserve">PCIe 4.0, 7,450 MB/s Read</t>
  </si>
  <si>
    <t xml:space="preserve">OS, Trading platforms, fast boot</t>
  </si>
  <si>
    <t xml:space="preserve">STORAGE (AI Models)</t>
  </si>
  <si>
    <t xml:space="preserve">Samsung 990 Pro 4TB NVMe</t>
  </si>
  <si>
    <t xml:space="preserve">LLM models, tick data, backtests</t>
  </si>
  <si>
    <t xml:space="preserve">STORAGE (Archive)</t>
  </si>
  <si>
    <t xml:space="preserve">Seagate IronWolf Pro 8TB</t>
  </si>
  <si>
    <t xml:space="preserve">7200 RPM, 256MB Cache, CMR</t>
  </si>
  <si>
    <t xml:space="preserve">Historical data, logs, backups</t>
  </si>
  <si>
    <t xml:space="preserve">PSU</t>
  </si>
  <si>
    <t xml:space="preserve">Corsair HX1500i</t>
  </si>
  <si>
    <t xml:space="preserve">1500W 80+ Platinum, Fully Modular</t>
  </si>
  <si>
    <t xml:space="preserve">Dual flagship GPUs (575W+450W)</t>
  </si>
  <si>
    <t xml:space="preserve">CASE</t>
  </si>
  <si>
    <t xml:space="preserve">Fractal Design Torrent</t>
  </si>
  <si>
    <t xml:space="preserve">Open airflow, 7 expansion slots</t>
  </si>
  <si>
    <t xml:space="preserve">Fits dual 3.5-slot GPUs</t>
  </si>
  <si>
    <t xml:space="preserve">CASE FANS</t>
  </si>
  <si>
    <t xml:space="preserve">Noctua NF-A14 PWM chromax.black</t>
  </si>
  <si>
    <t xml:space="preserve">140mm, 1500 RPM, Silent</t>
  </si>
  <si>
    <t xml:space="preserve">Additional cooling</t>
  </si>
  <si>
    <t xml:space="preserve">UPS BACKUP</t>
  </si>
  <si>
    <t xml:space="preserve">CyberPower CP1500PFCLCD</t>
  </si>
  <si>
    <t xml:space="preserve">1500VA/1000W Pure Sine Wave</t>
  </si>
  <si>
    <t xml:space="preserve">Power protection during trades</t>
  </si>
  <si>
    <t xml:space="preserve">MONITORS</t>
  </si>
  <si>
    <t xml:space="preserve">Dell S2722QC 27" 4K IPS</t>
  </si>
  <si>
    <t xml:space="preserve">4K UHD, USB-C, 60Hz</t>
  </si>
  <si>
    <t xml:space="preserve">Trading charts &amp; platforms</t>
  </si>
  <si>
    <t xml:space="preserve">MONITOR STAND</t>
  </si>
  <si>
    <t xml:space="preserve">VIVO Hex Monitor Mount</t>
  </si>
  <si>
    <t xml:space="preserve">6 Monitor Freestanding</t>
  </si>
  <si>
    <t xml:space="preserve">Clean desk setup</t>
  </si>
  <si>
    <t xml:space="preserve">OS</t>
  </si>
  <si>
    <t xml:space="preserve">Windows 11 Pro</t>
  </si>
  <si>
    <t xml:space="preserve">64-bit</t>
  </si>
  <si>
    <t xml:space="preserve">Required for MT5 and trading software</t>
  </si>
  <si>
    <t xml:space="preserve">TOTAL ESTIMATED BUILD COST</t>
  </si>
  <si>
    <t xml:space="preserve">LLM VRAM REQUIREMENTS &amp; CAPABILITY MATRIX</t>
  </si>
  <si>
    <t xml:space="preserve">MODEL SIZE</t>
  </si>
  <si>
    <t xml:space="preserve">FP16 VRAM</t>
  </si>
  <si>
    <t xml:space="preserve">INT8 VRAM</t>
  </si>
  <si>
    <t xml:space="preserve">INT4 VRAM</t>
  </si>
  <si>
    <t xml:space="preserve">CAN RUN ON THIS BUILD?</t>
  </si>
  <si>
    <t xml:space="preserve">7B (Mistral, Llama 3)</t>
  </si>
  <si>
    <t xml:space="preserve">14GB</t>
  </si>
  <si>
    <t xml:space="preserve">7GB</t>
  </si>
  <si>
    <t xml:space="preserve">4GB</t>
  </si>
  <si>
    <t xml:space="preserve">✓ Both GPUs easily - Run 4+ simultaneously</t>
  </si>
  <si>
    <t xml:space="preserve">13B (Llama 2, CodeLlama)</t>
  </si>
  <si>
    <t xml:space="preserve">26GB</t>
  </si>
  <si>
    <t xml:space="preserve">13GB</t>
  </si>
  <si>
    <t xml:space="preserve">✓ Both GPUs - Run 2-4 simultaneously</t>
  </si>
  <si>
    <t xml:space="preserve">30-34B (DeepSeek, Yi)</t>
  </si>
  <si>
    <t xml:space="preserve">68GB</t>
  </si>
  <si>
    <t xml:space="preserve">34GB</t>
  </si>
  <si>
    <t xml:space="preserve">17GB</t>
  </si>
  <si>
    <t xml:space="preserve">✓ INT4 on RTX 5090, INT8 split across both</t>
  </si>
  <si>
    <t xml:space="preserve">70B (Llama 2/3 70B)</t>
  </si>
  <si>
    <t xml:space="preserve">140GB</t>
  </si>
  <si>
    <t xml:space="preserve">70GB</t>
  </si>
  <si>
    <t xml:space="preserve">35GB</t>
  </si>
  <si>
    <t xml:space="preserve">✓ INT4 on RTX 5090 (32GB) with optimization</t>
  </si>
  <si>
    <t xml:space="preserve">70B (Full Quality)</t>
  </si>
  <si>
    <t xml:space="preserve">⚠ Requires INT4 quantization or CPU offload</t>
  </si>
  <si>
    <t xml:space="preserve">DUAL MODEL SCENARIOS (56GB TOTAL VRAM)</t>
  </si>
  <si>
    <t xml:space="preserve">SCENARIO</t>
  </si>
  <si>
    <t xml:space="preserve">GPU 1 (RTX 5090 - 32GB)</t>
  </si>
  <si>
    <t xml:space="preserve">GPU 2 (RTX 4090 - 24GB)</t>
  </si>
  <si>
    <t xml:space="preserve">TOTAL VRAM USED</t>
  </si>
  <si>
    <t xml:space="preserve">PERFORMANCE</t>
  </si>
  <si>
    <t xml:space="preserve">Trading + Research</t>
  </si>
  <si>
    <t xml:space="preserve">Llama 3 70B (INT4) - 35GB</t>
  </si>
  <si>
    <t xml:space="preserve">Mistral 7B (INT4) - 4GB</t>
  </si>
  <si>
    <t xml:space="preserve">39GB</t>
  </si>
  <si>
    <t xml:space="preserve">Excellent</t>
  </si>
  <si>
    <t xml:space="preserve">Dual Research Agents</t>
  </si>
  <si>
    <t xml:space="preserve">DeepSeek 33B (INT4) - 17GB</t>
  </si>
  <si>
    <t xml:space="preserve">CodeLlama 34B (INT4) - 17GB</t>
  </si>
  <si>
    <t xml:space="preserve">Code + Analysis</t>
  </si>
  <si>
    <t xml:space="preserve">DeepSeek Coder 33B - 17GB</t>
  </si>
  <si>
    <t xml:space="preserve">Llama 3 13B (FP16) - 26GB</t>
  </si>
  <si>
    <t xml:space="preserve">43GB</t>
  </si>
  <si>
    <t xml:space="preserve">Maximum Context</t>
  </si>
  <si>
    <t xml:space="preserve">Llama 3 13B (INT8) - 13GB</t>
  </si>
  <si>
    <t xml:space="preserve">48GB</t>
  </si>
  <si>
    <t xml:space="preserve">Very Good</t>
  </si>
  <si>
    <t xml:space="preserve">POWER CONSUMPTION ANALYSIS</t>
  </si>
  <si>
    <t xml:space="preserve">IDLE (W)</t>
  </si>
  <si>
    <t xml:space="preserve">LOAD (W)</t>
  </si>
  <si>
    <t xml:space="preserve">NOTES</t>
  </si>
  <si>
    <t xml:space="preserve">RTX 5090</t>
  </si>
  <si>
    <t xml:space="preserve">Primary AI GPU - May spike to 600W</t>
  </si>
  <si>
    <t xml:space="preserve">RTX 4090</t>
  </si>
  <si>
    <t xml:space="preserve">Secondary AI + Display output</t>
  </si>
  <si>
    <t xml:space="preserve">Ryzen 9 7950X</t>
  </si>
  <si>
    <t xml:space="preserve">Boost power consumption</t>
  </si>
  <si>
    <t xml:space="preserve">RAM (64GB DDR5)</t>
  </si>
  <si>
    <t xml:space="preserve">NVMe SSDs (2x)</t>
  </si>
  <si>
    <t xml:space="preserve">990 Pro power draw</t>
  </si>
  <si>
    <t xml:space="preserve">HDD (1x)</t>
  </si>
  <si>
    <t xml:space="preserve">Spinning rust</t>
  </si>
  <si>
    <t xml:space="preserve">System (MB, Fans, etc)</t>
  </si>
  <si>
    <t xml:space="preserve">6x Monitors</t>
  </si>
  <si>
    <t xml:space="preserve">~30W each at 4K</t>
  </si>
  <si>
    <t xml:space="preserve">TOTAL SYSTEM</t>
  </si>
  <si>
    <t xml:space="preserve">Peak with both GPUs maxed</t>
  </si>
  <si>
    <t xml:space="preserve">PSU HEADROOM</t>
  </si>
  <si>
    <t xml:space="preserve">1500W PSU provides 49% headroom at full load - RECOMMENDED</t>
  </si>
  <si>
    <t xml:space="preserve">Never exceed 80% continuous PSU load for stability</t>
  </si>
  <si>
    <t xml:space="preserve">ALTERNATIVE BUILD CONFIGURATIONS</t>
  </si>
  <si>
    <t xml:space="preserve">GPU CONFIG</t>
  </si>
  <si>
    <t xml:space="preserve">TOTAL VRAM</t>
  </si>
  <si>
    <t xml:space="preserve">AI CAPABILITY</t>
  </si>
  <si>
    <t xml:space="preserve">EST. COST</t>
  </si>
  <si>
    <t xml:space="preserve">FLAGSHIP (Recommended)</t>
  </si>
  <si>
    <t xml:space="preserve">RTX 5090 + RTX 4090</t>
  </si>
  <si>
    <t xml:space="preserve">56GB</t>
  </si>
  <si>
    <t xml:space="preserve">2x 30B or 1x 70B models</t>
  </si>
  <si>
    <t xml:space="preserve">VALUE BEAST</t>
  </si>
  <si>
    <t xml:space="preserve">2x RTX 4090</t>
  </si>
  <si>
    <t xml:space="preserve">2x 30B models easily</t>
  </si>
  <si>
    <t xml:space="preserve">BUDGET POWERHOUSE</t>
  </si>
  <si>
    <t xml:space="preserve">2x RTX 3090 (Used)</t>
  </si>
  <si>
    <t xml:space="preserve">2x 30B models (used market)</t>
  </si>
  <si>
    <t xml:space="preserve">SINGLE GPU PRO</t>
  </si>
  <si>
    <t xml:space="preserve">RTX 5090 + RTX 4060</t>
  </si>
  <si>
    <t xml:space="preserve">40GB</t>
  </si>
  <si>
    <t xml:space="preserve">1x 70B + monitors</t>
  </si>
  <si>
    <t xml:space="preserve">WORKSTATION CLASS</t>
  </si>
  <si>
    <t xml:space="preserve">RTX 6000 Ada (48GB)</t>
  </si>
  <si>
    <t xml:space="preserve">Single card simplicity</t>
  </si>
  <si>
    <t xml:space="preserve">GPU INSTALLATION</t>
  </si>
  <si>
    <t xml:space="preserve">  • RTX 5090 in primary x16 slot (closest to CPU)</t>
  </si>
  <si>
    <t xml:space="preserve">  • RTX 4090 in secondary x8 slot</t>
  </si>
  <si>
    <t xml:space="preserve">  • Ensure 3-slot spacing between GPUs for airflow</t>
  </si>
  <si>
    <t xml:space="preserve">  • Use GPU support brackets to prevent sag</t>
  </si>
  <si>
    <t xml:space="preserve">POWER CONSIDERATIONS</t>
  </si>
  <si>
    <t xml:space="preserve">  • RTX 5090 requires 16-pin 12VHPWR connector</t>
  </si>
  <si>
    <t xml:space="preserve">  • RTX 4090 requires 16-pin 12VHPWR connector</t>
  </si>
  <si>
    <t xml:space="preserve">  • Use native cables from HX1500i PSU - NO ADAPTERS</t>
  </si>
  <si>
    <t xml:space="preserve">  • Ensure dedicated rails for each GPU</t>
  </si>
  <si>
    <t xml:space="preserve">AI SOFTWARE STACK</t>
  </si>
  <si>
    <t xml:space="preserve">  • Ollama - Local LLM inference server</t>
  </si>
  <si>
    <t xml:space="preserve">  • LM Studio - GUI for running models</t>
  </si>
  <si>
    <t xml:space="preserve">  • text-generation-webui - Advanced inference</t>
  </si>
  <si>
    <t xml:space="preserve">  • CUDA 12.x + cuDNN for maximum performance</t>
  </si>
  <si>
    <t xml:space="preserve">MONITOR CONFIGURATION</t>
  </si>
  <si>
    <t xml:space="preserve">  • RTX 4090 handles all 6 monitors (4x DP + 1x HDMI native)</t>
  </si>
  <si>
    <t xml:space="preserve">  • RTX 5090 dedicated to AI compute only</t>
  </si>
  <si>
    <t xml:space="preserve">  • Use DisplayPort for 4K@60Hz on all monitors</t>
  </si>
  <si>
    <t xml:space="preserve">  • Configure NVIDIA Surround for unified desktop if desired</t>
  </si>
  <si>
    <t xml:space="preserve">COOLING NOTES</t>
  </si>
  <si>
    <t xml:space="preserve">  • Fractal Torrent case provides 180mm+ front intake</t>
  </si>
  <si>
    <t xml:space="preserve">  • Set GPU fans to aggressive curve (70% at 70°C)</t>
  </si>
  <si>
    <t xml:space="preserve">  • Target: GPU temps under 80°C during AI inference</t>
  </si>
  <si>
    <t xml:space="preserve">  • Consider replacing rear fan with 140mm exhaust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</si>
</sst>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0D47A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0064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6400"/>
      <name val="Cambria"/>
      <family val="0"/>
      <charset val="1"/>
    </font>
    <font>
      <b val="true"/>
      <sz val="11"/>
      <color rgb="FFFF66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47A1"/>
        <bgColor rgb="FF1F4E79"/>
      </patternFill>
    </fill>
    <fill>
      <patternFill patternType="solid">
        <fgColor rgb="FF1F4E79"/>
        <bgColor rgb="FF0D47A1"/>
      </patternFill>
    </fill>
    <fill>
      <patternFill patternType="solid">
        <fgColor rgb="FFD6DC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4" min="3" style="0" width="42"/>
    <col collapsed="false" customWidth="true" hidden="false" outlineLevel="0" max="5" min="5" style="0" width="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9" customFormat="false" ht="17.35" hidden="false" customHeight="fals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  <c r="D10" s="5" t="s">
        <v>20</v>
      </c>
      <c r="E10" s="6" t="n">
        <v>1</v>
      </c>
      <c r="F10" s="7" t="n">
        <v>449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  <c r="D11" s="5" t="s">
        <v>24</v>
      </c>
      <c r="E11" s="6" t="n">
        <v>1</v>
      </c>
      <c r="F11" s="7" t="n">
        <v>109</v>
      </c>
    </row>
    <row r="12" customFormat="false" ht="15" hidden="false" customHeight="false" outlineLevel="0" collapsed="false">
      <c r="A12" s="5" t="s">
        <v>25</v>
      </c>
      <c r="B12" s="5" t="s">
        <v>26</v>
      </c>
      <c r="C12" s="5" t="s">
        <v>27</v>
      </c>
      <c r="D12" s="5" t="s">
        <v>28</v>
      </c>
      <c r="E12" s="6" t="n">
        <v>1</v>
      </c>
      <c r="F12" s="7" t="n">
        <v>499</v>
      </c>
    </row>
    <row r="13" customFormat="false" ht="15" hidden="false" customHeight="false" outlineLevel="0" collapsed="false">
      <c r="A13" s="5" t="s">
        <v>29</v>
      </c>
      <c r="B13" s="5" t="s">
        <v>30</v>
      </c>
      <c r="C13" s="5" t="s">
        <v>31</v>
      </c>
      <c r="D13" s="5" t="s">
        <v>32</v>
      </c>
      <c r="E13" s="6" t="n">
        <v>1</v>
      </c>
      <c r="F13" s="7" t="n">
        <v>199</v>
      </c>
    </row>
    <row r="14" customFormat="false" ht="15" hidden="false" customHeight="false" outlineLevel="0" collapsed="false">
      <c r="A14" s="5" t="s">
        <v>33</v>
      </c>
      <c r="B14" s="5" t="s">
        <v>34</v>
      </c>
      <c r="C14" s="5" t="s">
        <v>35</v>
      </c>
      <c r="D14" s="5" t="s">
        <v>36</v>
      </c>
      <c r="E14" s="6" t="n">
        <v>1</v>
      </c>
      <c r="F14" s="7" t="n">
        <v>1999</v>
      </c>
    </row>
    <row r="15" customFormat="false" ht="15" hidden="false" customHeight="false" outlineLevel="0" collapsed="false">
      <c r="A15" s="5" t="s">
        <v>37</v>
      </c>
      <c r="B15" s="5" t="s">
        <v>38</v>
      </c>
      <c r="C15" s="5" t="s">
        <v>39</v>
      </c>
      <c r="D15" s="5" t="s">
        <v>40</v>
      </c>
      <c r="E15" s="6" t="n">
        <v>1</v>
      </c>
      <c r="F15" s="7" t="n">
        <v>1599</v>
      </c>
    </row>
    <row r="16" customFormat="false" ht="15" hidden="false" customHeight="false" outlineLevel="0" collapsed="false">
      <c r="A16" s="5" t="s">
        <v>41</v>
      </c>
      <c r="B16" s="5" t="s">
        <v>42</v>
      </c>
      <c r="C16" s="5" t="s">
        <v>43</v>
      </c>
      <c r="D16" s="5" t="s">
        <v>44</v>
      </c>
      <c r="E16" s="6" t="n">
        <v>1</v>
      </c>
      <c r="F16" s="7" t="n">
        <v>169</v>
      </c>
    </row>
    <row r="17" customFormat="false" ht="15" hidden="false" customHeight="false" outlineLevel="0" collapsed="false">
      <c r="A17" s="5" t="s">
        <v>45</v>
      </c>
      <c r="B17" s="5" t="s">
        <v>46</v>
      </c>
      <c r="C17" s="5" t="s">
        <v>43</v>
      </c>
      <c r="D17" s="5" t="s">
        <v>47</v>
      </c>
      <c r="E17" s="6" t="n">
        <v>1</v>
      </c>
      <c r="F17" s="7" t="n">
        <v>299</v>
      </c>
    </row>
    <row r="18" customFormat="false" ht="15" hidden="false" customHeight="false" outlineLevel="0" collapsed="false">
      <c r="A18" s="5" t="s">
        <v>48</v>
      </c>
      <c r="B18" s="5" t="s">
        <v>49</v>
      </c>
      <c r="C18" s="5" t="s">
        <v>50</v>
      </c>
      <c r="D18" s="5" t="s">
        <v>51</v>
      </c>
      <c r="E18" s="6" t="n">
        <v>1</v>
      </c>
      <c r="F18" s="7" t="n">
        <v>189</v>
      </c>
    </row>
    <row r="19" customFormat="false" ht="15" hidden="false" customHeight="false" outlineLevel="0" collapsed="false">
      <c r="A19" s="5" t="s">
        <v>52</v>
      </c>
      <c r="B19" s="5" t="s">
        <v>53</v>
      </c>
      <c r="C19" s="5" t="s">
        <v>54</v>
      </c>
      <c r="D19" s="5" t="s">
        <v>55</v>
      </c>
      <c r="E19" s="6" t="n">
        <v>1</v>
      </c>
      <c r="F19" s="7" t="n">
        <v>349</v>
      </c>
    </row>
    <row r="20" customFormat="false" ht="15" hidden="false" customHeight="false" outlineLevel="0" collapsed="false">
      <c r="A20" s="5" t="s">
        <v>56</v>
      </c>
      <c r="B20" s="5" t="s">
        <v>57</v>
      </c>
      <c r="C20" s="5" t="s">
        <v>58</v>
      </c>
      <c r="D20" s="5" t="s">
        <v>59</v>
      </c>
      <c r="E20" s="6" t="n">
        <v>1</v>
      </c>
      <c r="F20" s="7" t="n">
        <v>229</v>
      </c>
    </row>
    <row r="21" customFormat="false" ht="15" hidden="false" customHeight="false" outlineLevel="0" collapsed="false">
      <c r="A21" s="5" t="s">
        <v>60</v>
      </c>
      <c r="B21" s="5" t="s">
        <v>61</v>
      </c>
      <c r="C21" s="5" t="s">
        <v>62</v>
      </c>
      <c r="D21" s="5" t="s">
        <v>63</v>
      </c>
      <c r="E21" s="6" t="n">
        <v>3</v>
      </c>
      <c r="F21" s="7" t="n">
        <v>81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66</v>
      </c>
      <c r="D22" s="5" t="s">
        <v>67</v>
      </c>
      <c r="E22" s="6" t="n">
        <v>1</v>
      </c>
      <c r="F22" s="7" t="n">
        <v>249</v>
      </c>
    </row>
    <row r="23" customFormat="false" ht="15" hidden="false" customHeight="false" outlineLevel="0" collapsed="false">
      <c r="A23" s="5" t="s">
        <v>68</v>
      </c>
      <c r="B23" s="5" t="s">
        <v>69</v>
      </c>
      <c r="C23" s="5" t="s">
        <v>70</v>
      </c>
      <c r="D23" s="5" t="s">
        <v>71</v>
      </c>
      <c r="E23" s="6" t="n">
        <v>6</v>
      </c>
      <c r="F23" s="7" t="n">
        <v>1794</v>
      </c>
    </row>
    <row r="24" customFormat="false" ht="15" hidden="false" customHeight="false" outlineLevel="0" collapsed="false">
      <c r="A24" s="5" t="s">
        <v>72</v>
      </c>
      <c r="B24" s="5" t="s">
        <v>73</v>
      </c>
      <c r="C24" s="5" t="s">
        <v>74</v>
      </c>
      <c r="D24" s="5" t="s">
        <v>75</v>
      </c>
      <c r="E24" s="6" t="n">
        <v>1</v>
      </c>
      <c r="F24" s="7" t="n">
        <v>179</v>
      </c>
    </row>
    <row r="25" customFormat="false" ht="15" hidden="false" customHeight="false" outlineLevel="0" collapsed="false">
      <c r="A25" s="5" t="s">
        <v>76</v>
      </c>
      <c r="B25" s="5" t="s">
        <v>77</v>
      </c>
      <c r="C25" s="5" t="s">
        <v>78</v>
      </c>
      <c r="D25" s="5" t="s">
        <v>79</v>
      </c>
      <c r="E25" s="6" t="n">
        <v>1</v>
      </c>
      <c r="F25" s="7" t="n">
        <v>139</v>
      </c>
    </row>
    <row r="26" customFormat="false" ht="15" hidden="false" customHeight="false" outlineLevel="0" collapsed="false">
      <c r="A26" s="8" t="s">
        <v>80</v>
      </c>
      <c r="B26" s="8"/>
      <c r="C26" s="8"/>
      <c r="D26" s="8"/>
      <c r="F26" s="9" t="n">
        <f aca="false">SUM(F10:F25)</f>
        <v>8531</v>
      </c>
    </row>
  </sheetData>
  <mergeCells count="2">
    <mergeCell ref="A1:F1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2"/>
  </cols>
  <sheetData>
    <row r="1" customFormat="false" ht="17.35" hidden="false" customHeight="false" outlineLevel="0" collapsed="false">
      <c r="A1" s="10" t="s">
        <v>81</v>
      </c>
      <c r="B1" s="10"/>
      <c r="C1" s="10"/>
      <c r="D1" s="10"/>
      <c r="E1" s="10"/>
    </row>
    <row r="3" customFormat="false" ht="17.35" hidden="false" customHeight="false" outlineLevel="0" collapsed="false">
      <c r="A3" s="11" t="s">
        <v>82</v>
      </c>
      <c r="B3" s="11" t="s">
        <v>83</v>
      </c>
      <c r="C3" s="11" t="s">
        <v>84</v>
      </c>
      <c r="D3" s="11" t="s">
        <v>85</v>
      </c>
      <c r="E3" s="11" t="s">
        <v>86</v>
      </c>
    </row>
    <row r="4" customFormat="false" ht="15" hidden="false" customHeight="false" outlineLevel="0" collapsed="false">
      <c r="A4" s="12" t="s">
        <v>87</v>
      </c>
      <c r="B4" s="12" t="s">
        <v>88</v>
      </c>
      <c r="C4" s="12" t="s">
        <v>89</v>
      </c>
      <c r="D4" s="12" t="s">
        <v>90</v>
      </c>
      <c r="E4" s="13" t="s">
        <v>91</v>
      </c>
    </row>
    <row r="5" customFormat="false" ht="15" hidden="false" customHeight="false" outlineLevel="0" collapsed="false">
      <c r="A5" s="12" t="s">
        <v>92</v>
      </c>
      <c r="B5" s="12" t="s">
        <v>93</v>
      </c>
      <c r="C5" s="12" t="s">
        <v>94</v>
      </c>
      <c r="D5" s="12" t="s">
        <v>89</v>
      </c>
      <c r="E5" s="13" t="s">
        <v>95</v>
      </c>
    </row>
    <row r="6" customFormat="false" ht="15" hidden="false" customHeight="false" outlineLevel="0" collapsed="false">
      <c r="A6" s="12" t="s">
        <v>96</v>
      </c>
      <c r="B6" s="12" t="s">
        <v>97</v>
      </c>
      <c r="C6" s="12" t="s">
        <v>98</v>
      </c>
      <c r="D6" s="12" t="s">
        <v>99</v>
      </c>
      <c r="E6" s="13" t="s">
        <v>100</v>
      </c>
    </row>
    <row r="7" customFormat="false" ht="15" hidden="false" customHeight="false" outlineLevel="0" collapsed="false">
      <c r="A7" s="12" t="s">
        <v>101</v>
      </c>
      <c r="B7" s="12" t="s">
        <v>102</v>
      </c>
      <c r="C7" s="12" t="s">
        <v>103</v>
      </c>
      <c r="D7" s="12" t="s">
        <v>104</v>
      </c>
      <c r="E7" s="13" t="s">
        <v>105</v>
      </c>
    </row>
    <row r="8" customFormat="false" ht="15" hidden="false" customHeight="false" outlineLevel="0" collapsed="false">
      <c r="A8" s="12" t="s">
        <v>106</v>
      </c>
      <c r="B8" s="12" t="s">
        <v>102</v>
      </c>
      <c r="C8" s="12" t="s">
        <v>103</v>
      </c>
      <c r="D8" s="12" t="s">
        <v>104</v>
      </c>
      <c r="E8" s="14" t="s">
        <v>107</v>
      </c>
    </row>
    <row r="11" customFormat="false" ht="15" hidden="false" customHeight="false" outlineLevel="0" collapsed="false">
      <c r="A11" s="15" t="s">
        <v>108</v>
      </c>
      <c r="B11" s="15"/>
      <c r="C11" s="15"/>
      <c r="D11" s="15"/>
      <c r="E11" s="15"/>
    </row>
    <row r="12" customFormat="false" ht="17.35" hidden="false" customHeight="false" outlineLevel="0" collapsed="false">
      <c r="A12" s="11" t="s">
        <v>109</v>
      </c>
      <c r="B12" s="11" t="s">
        <v>110</v>
      </c>
      <c r="C12" s="11" t="s">
        <v>111</v>
      </c>
      <c r="D12" s="11" t="s">
        <v>112</v>
      </c>
      <c r="E12" s="11" t="s">
        <v>113</v>
      </c>
    </row>
    <row r="13" customFormat="false" ht="15" hidden="false" customHeight="false" outlineLevel="0" collapsed="false">
      <c r="A13" s="12" t="s">
        <v>114</v>
      </c>
      <c r="B13" s="12" t="s">
        <v>115</v>
      </c>
      <c r="C13" s="12" t="s">
        <v>116</v>
      </c>
      <c r="D13" s="12" t="s">
        <v>117</v>
      </c>
      <c r="E13" s="12" t="s">
        <v>118</v>
      </c>
    </row>
    <row r="14" customFormat="false" ht="15" hidden="false" customHeight="false" outlineLevel="0" collapsed="false">
      <c r="A14" s="12" t="s">
        <v>119</v>
      </c>
      <c r="B14" s="12" t="s">
        <v>120</v>
      </c>
      <c r="C14" s="12" t="s">
        <v>121</v>
      </c>
      <c r="D14" s="12" t="s">
        <v>98</v>
      </c>
      <c r="E14" s="12" t="s">
        <v>118</v>
      </c>
    </row>
    <row r="15" customFormat="false" ht="15" hidden="false" customHeight="false" outlineLevel="0" collapsed="false">
      <c r="A15" s="12" t="s">
        <v>122</v>
      </c>
      <c r="B15" s="12" t="s">
        <v>123</v>
      </c>
      <c r="C15" s="12" t="s">
        <v>124</v>
      </c>
      <c r="D15" s="12" t="s">
        <v>125</v>
      </c>
      <c r="E15" s="12" t="s">
        <v>118</v>
      </c>
    </row>
    <row r="16" customFormat="false" ht="15" hidden="false" customHeight="false" outlineLevel="0" collapsed="false">
      <c r="A16" s="12" t="s">
        <v>126</v>
      </c>
      <c r="B16" s="12" t="s">
        <v>115</v>
      </c>
      <c r="C16" s="12" t="s">
        <v>127</v>
      </c>
      <c r="D16" s="12" t="s">
        <v>128</v>
      </c>
      <c r="E16" s="12" t="s">
        <v>129</v>
      </c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8"/>
  </cols>
  <sheetData>
    <row r="1" customFormat="false" ht="17.35" hidden="false" customHeight="false" outlineLevel="0" collapsed="false">
      <c r="A1" s="10" t="s">
        <v>130</v>
      </c>
      <c r="B1" s="10"/>
      <c r="C1" s="10"/>
      <c r="D1" s="10"/>
    </row>
    <row r="3" customFormat="false" ht="17.35" hidden="false" customHeight="false" outlineLevel="0" collapsed="false">
      <c r="A3" s="11" t="s">
        <v>11</v>
      </c>
      <c r="B3" s="11" t="s">
        <v>131</v>
      </c>
      <c r="C3" s="11" t="s">
        <v>132</v>
      </c>
      <c r="D3" s="11" t="s">
        <v>133</v>
      </c>
    </row>
    <row r="4" customFormat="false" ht="15" hidden="false" customHeight="false" outlineLevel="0" collapsed="false">
      <c r="A4" s="12" t="s">
        <v>134</v>
      </c>
      <c r="B4" s="12" t="n">
        <v>25</v>
      </c>
      <c r="C4" s="12" t="n">
        <v>575</v>
      </c>
      <c r="D4" s="12" t="s">
        <v>135</v>
      </c>
    </row>
    <row r="5" customFormat="false" ht="15" hidden="false" customHeight="false" outlineLevel="0" collapsed="false">
      <c r="A5" s="12" t="s">
        <v>136</v>
      </c>
      <c r="B5" s="12" t="n">
        <v>20</v>
      </c>
      <c r="C5" s="12" t="n">
        <v>450</v>
      </c>
      <c r="D5" s="12" t="s">
        <v>137</v>
      </c>
    </row>
    <row r="6" customFormat="false" ht="15" hidden="false" customHeight="false" outlineLevel="0" collapsed="false">
      <c r="A6" s="12" t="s">
        <v>138</v>
      </c>
      <c r="B6" s="12" t="n">
        <v>15</v>
      </c>
      <c r="C6" s="12" t="n">
        <v>170</v>
      </c>
      <c r="D6" s="12" t="s">
        <v>139</v>
      </c>
    </row>
    <row r="7" customFormat="false" ht="15" hidden="false" customHeight="false" outlineLevel="0" collapsed="false">
      <c r="A7" s="12" t="s">
        <v>140</v>
      </c>
      <c r="B7" s="12" t="n">
        <v>5</v>
      </c>
      <c r="C7" s="12" t="n">
        <v>10</v>
      </c>
      <c r="D7" s="12"/>
    </row>
    <row r="8" customFormat="false" ht="15" hidden="false" customHeight="false" outlineLevel="0" collapsed="false">
      <c r="A8" s="12" t="s">
        <v>141</v>
      </c>
      <c r="B8" s="12" t="n">
        <v>2</v>
      </c>
      <c r="C8" s="12" t="n">
        <v>8</v>
      </c>
      <c r="D8" s="12" t="s">
        <v>142</v>
      </c>
    </row>
    <row r="9" customFormat="false" ht="15" hidden="false" customHeight="false" outlineLevel="0" collapsed="false">
      <c r="A9" s="12" t="s">
        <v>143</v>
      </c>
      <c r="B9" s="12" t="n">
        <v>3</v>
      </c>
      <c r="C9" s="12" t="n">
        <v>8</v>
      </c>
      <c r="D9" s="12" t="s">
        <v>144</v>
      </c>
    </row>
    <row r="10" customFormat="false" ht="15" hidden="false" customHeight="false" outlineLevel="0" collapsed="false">
      <c r="A10" s="12" t="s">
        <v>145</v>
      </c>
      <c r="B10" s="12" t="n">
        <v>30</v>
      </c>
      <c r="C10" s="12" t="n">
        <v>50</v>
      </c>
      <c r="D10" s="12"/>
    </row>
    <row r="11" customFormat="false" ht="15" hidden="false" customHeight="false" outlineLevel="0" collapsed="false">
      <c r="A11" s="12" t="s">
        <v>146</v>
      </c>
      <c r="B11" s="12" t="n">
        <v>120</v>
      </c>
      <c r="C11" s="12" t="n">
        <v>180</v>
      </c>
      <c r="D11" s="12" t="s">
        <v>147</v>
      </c>
    </row>
    <row r="13" customFormat="false" ht="15" hidden="false" customHeight="false" outlineLevel="0" collapsed="false">
      <c r="A13" s="16" t="s">
        <v>148</v>
      </c>
      <c r="B13" s="16" t="n">
        <v>220</v>
      </c>
      <c r="C13" s="16" t="n">
        <v>1451</v>
      </c>
      <c r="D13" s="16" t="s">
        <v>149</v>
      </c>
    </row>
    <row r="15" customFormat="false" ht="15" hidden="false" customHeight="false" outlineLevel="0" collapsed="false">
      <c r="A15" s="0" t="s">
        <v>150</v>
      </c>
    </row>
    <row r="16" customFormat="false" ht="15" hidden="false" customHeight="false" outlineLevel="0" collapsed="false">
      <c r="A16" s="0" t="s">
        <v>151</v>
      </c>
    </row>
    <row r="17" customFormat="false" ht="15" hidden="false" customHeight="false" outlineLevel="0" collapsed="false">
      <c r="A17" s="0" t="s">
        <v>152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2"/>
  </cols>
  <sheetData>
    <row r="1" customFormat="false" ht="17.35" hidden="false" customHeight="false" outlineLevel="0" collapsed="false">
      <c r="A1" s="10" t="s">
        <v>153</v>
      </c>
      <c r="B1" s="10"/>
      <c r="C1" s="10"/>
      <c r="D1" s="10"/>
      <c r="E1" s="10"/>
    </row>
    <row r="3" customFormat="false" ht="17.35" hidden="false" customHeight="false" outlineLevel="0" collapsed="false">
      <c r="A3" s="11" t="s">
        <v>1</v>
      </c>
      <c r="B3" s="11" t="s">
        <v>154</v>
      </c>
      <c r="C3" s="11" t="s">
        <v>155</v>
      </c>
      <c r="D3" s="11" t="s">
        <v>156</v>
      </c>
      <c r="E3" s="11" t="s">
        <v>157</v>
      </c>
    </row>
    <row r="4" customFormat="false" ht="15" hidden="false" customHeight="false" outlineLevel="0" collapsed="false">
      <c r="A4" s="12" t="s">
        <v>158</v>
      </c>
      <c r="B4" s="12" t="s">
        <v>159</v>
      </c>
      <c r="C4" s="12" t="s">
        <v>160</v>
      </c>
      <c r="D4" s="12" t="s">
        <v>161</v>
      </c>
      <c r="E4" s="17" t="n">
        <v>8532</v>
      </c>
    </row>
    <row r="5" customFormat="false" ht="15" hidden="false" customHeight="false" outlineLevel="0" collapsed="false">
      <c r="A5" s="12" t="s">
        <v>162</v>
      </c>
      <c r="B5" s="12" t="s">
        <v>163</v>
      </c>
      <c r="C5" s="12" t="s">
        <v>128</v>
      </c>
      <c r="D5" s="12" t="s">
        <v>164</v>
      </c>
      <c r="E5" s="17" t="n">
        <v>7932</v>
      </c>
    </row>
    <row r="6" customFormat="false" ht="15" hidden="false" customHeight="false" outlineLevel="0" collapsed="false">
      <c r="A6" s="12" t="s">
        <v>165</v>
      </c>
      <c r="B6" s="12" t="s">
        <v>166</v>
      </c>
      <c r="C6" s="12" t="s">
        <v>128</v>
      </c>
      <c r="D6" s="12" t="s">
        <v>167</v>
      </c>
      <c r="E6" s="17" t="n">
        <v>5532</v>
      </c>
    </row>
    <row r="7" customFormat="false" ht="15" hidden="false" customHeight="false" outlineLevel="0" collapsed="false">
      <c r="A7" s="12" t="s">
        <v>168</v>
      </c>
      <c r="B7" s="12" t="s">
        <v>169</v>
      </c>
      <c r="C7" s="12" t="s">
        <v>170</v>
      </c>
      <c r="D7" s="12" t="s">
        <v>171</v>
      </c>
      <c r="E7" s="17" t="n">
        <v>6532</v>
      </c>
    </row>
    <row r="8" customFormat="false" ht="15" hidden="false" customHeight="false" outlineLevel="0" collapsed="false">
      <c r="A8" s="12" t="s">
        <v>172</v>
      </c>
      <c r="B8" s="12" t="s">
        <v>173</v>
      </c>
      <c r="C8" s="12" t="s">
        <v>128</v>
      </c>
      <c r="D8" s="12" t="s">
        <v>174</v>
      </c>
      <c r="E8" s="17" t="n">
        <v>9500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18" t="s">
        <v>175</v>
      </c>
    </row>
    <row r="2" customFormat="false" ht="15" hidden="false" customHeight="false" outlineLevel="0" collapsed="false">
      <c r="A2" s="0" t="s">
        <v>176</v>
      </c>
    </row>
    <row r="3" customFormat="false" ht="15" hidden="false" customHeight="false" outlineLevel="0" collapsed="false">
      <c r="A3" s="0" t="s">
        <v>177</v>
      </c>
    </row>
    <row r="4" customFormat="false" ht="15" hidden="false" customHeight="false" outlineLevel="0" collapsed="false">
      <c r="A4" s="0" t="s">
        <v>178</v>
      </c>
    </row>
    <row r="5" customFormat="false" ht="15" hidden="false" customHeight="false" outlineLevel="0" collapsed="false">
      <c r="A5" s="0" t="s">
        <v>179</v>
      </c>
    </row>
    <row r="7" customFormat="false" ht="15" hidden="false" customHeight="false" outlineLevel="0" collapsed="false">
      <c r="A7" s="18" t="s">
        <v>180</v>
      </c>
    </row>
    <row r="8" customFormat="false" ht="15" hidden="false" customHeight="false" outlineLevel="0" collapsed="false">
      <c r="A8" s="0" t="s">
        <v>181</v>
      </c>
    </row>
    <row r="9" customFormat="false" ht="15" hidden="false" customHeight="false" outlineLevel="0" collapsed="false">
      <c r="A9" s="0" t="s">
        <v>182</v>
      </c>
    </row>
    <row r="10" customFormat="false" ht="15" hidden="false" customHeight="false" outlineLevel="0" collapsed="false">
      <c r="A10" s="0" t="s">
        <v>183</v>
      </c>
    </row>
    <row r="11" customFormat="false" ht="15" hidden="false" customHeight="false" outlineLevel="0" collapsed="false">
      <c r="A11" s="0" t="s">
        <v>184</v>
      </c>
    </row>
    <row r="13" customFormat="false" ht="15" hidden="false" customHeight="false" outlineLevel="0" collapsed="false">
      <c r="A13" s="18" t="s">
        <v>185</v>
      </c>
    </row>
    <row r="14" customFormat="false" ht="15" hidden="false" customHeight="false" outlineLevel="0" collapsed="false">
      <c r="A14" s="0" t="s">
        <v>186</v>
      </c>
    </row>
    <row r="15" customFormat="false" ht="15" hidden="false" customHeight="false" outlineLevel="0" collapsed="false">
      <c r="A15" s="0" t="s">
        <v>187</v>
      </c>
    </row>
    <row r="16" customFormat="false" ht="15" hidden="false" customHeight="false" outlineLevel="0" collapsed="false">
      <c r="A16" s="0" t="s">
        <v>188</v>
      </c>
    </row>
    <row r="17" customFormat="false" ht="15" hidden="false" customHeight="false" outlineLevel="0" collapsed="false">
      <c r="A17" s="0" t="s">
        <v>189</v>
      </c>
    </row>
    <row r="19" customFormat="false" ht="15" hidden="false" customHeight="false" outlineLevel="0" collapsed="false">
      <c r="A19" s="18" t="s">
        <v>190</v>
      </c>
    </row>
    <row r="20" customFormat="false" ht="15" hidden="false" customHeight="false" outlineLevel="0" collapsed="false">
      <c r="A20" s="0" t="s">
        <v>191</v>
      </c>
    </row>
    <row r="21" customFormat="false" ht="15" hidden="false" customHeight="false" outlineLevel="0" collapsed="false">
      <c r="A21" s="0" t="s">
        <v>192</v>
      </c>
    </row>
    <row r="22" customFormat="false" ht="15" hidden="false" customHeight="false" outlineLevel="0" collapsed="false">
      <c r="A22" s="0" t="s">
        <v>193</v>
      </c>
    </row>
    <row r="23" customFormat="false" ht="15" hidden="false" customHeight="false" outlineLevel="0" collapsed="false">
      <c r="A23" s="0" t="s">
        <v>194</v>
      </c>
    </row>
    <row r="25" customFormat="false" ht="15" hidden="false" customHeight="false" outlineLevel="0" collapsed="false">
      <c r="A25" s="18" t="s">
        <v>195</v>
      </c>
    </row>
    <row r="26" customFormat="false" ht="15" hidden="false" customHeight="false" outlineLevel="0" collapsed="false">
      <c r="A26" s="0" t="s">
        <v>196</v>
      </c>
    </row>
    <row r="27" customFormat="false" ht="15" hidden="false" customHeight="false" outlineLevel="0" collapsed="false">
      <c r="A27" s="0" t="s">
        <v>197</v>
      </c>
    </row>
    <row r="28" customFormat="false" ht="15" hidden="false" customHeight="false" outlineLevel="0" collapsed="false">
      <c r="A28" s="0" t="s">
        <v>198</v>
      </c>
    </row>
    <row r="29" customFormat="false" ht="15" hidden="false" customHeight="false" outlineLevel="0" collapsed="false">
      <c r="A29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2025-12-03T06:58:51Z</dcterms:created>
  <dc:creator>openpyxl</dc:creator>
  <dc:description/>
  <dc:language>en-US</dc:language>
  <cp:lastModifiedBy/>
  <dcterms:modified xsi:type="dcterms:W3CDTF">2025-12-03T06:58:51Z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